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edeelde drives\ECO - VerDi\AVSA24\Algemeen &amp; Organisatie\AVSA24 Uren en opdrachtbrieven\Uren\Uren 2026\"/>
    </mc:Choice>
  </mc:AlternateContent>
  <xr:revisionPtr revIDLastSave="0" documentId="13_ncr:1_{7DDEE432-38F6-4842-A978-BE7A4FC9F202}" xr6:coauthVersionLast="47" xr6:coauthVersionMax="47" xr10:uidLastSave="{00000000-0000-0000-0000-000000000000}"/>
  <bookViews>
    <workbookView xWindow="-120" yWindow="-16320" windowWidth="29040" windowHeight="15720" activeTab="2" xr2:uid="{7A91D20D-BC55-4FE7-979C-7431FCFC4000}"/>
  </bookViews>
  <sheets>
    <sheet name="januari 2026" sheetId="7" r:id="rId1"/>
    <sheet name="februari 2026" sheetId="8" r:id="rId2"/>
    <sheet name="Overzicht bedrage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6" l="1"/>
  <c r="D6" i="6"/>
  <c r="D5" i="6"/>
  <c r="F7" i="6" l="1"/>
  <c r="E6" i="6"/>
  <c r="F5" i="6"/>
  <c r="D8" i="6" l="1"/>
  <c r="G7" i="6"/>
  <c r="H7" i="6" s="1"/>
  <c r="G5" i="6"/>
  <c r="E7" i="6"/>
  <c r="F6" i="6"/>
  <c r="F8" i="6" s="1"/>
  <c r="E5" i="6"/>
  <c r="E8" i="6" l="1"/>
  <c r="I7" i="6" s="1"/>
  <c r="H5" i="6"/>
  <c r="G6" i="6"/>
  <c r="G8" i="6" s="1"/>
  <c r="I5" i="6" l="1"/>
  <c r="I6" i="6"/>
  <c r="H6" i="6"/>
  <c r="H8" i="6" s="1"/>
  <c r="K4" i="6" s="1"/>
  <c r="L4" i="6" s="1"/>
</calcChain>
</file>

<file path=xl/sharedStrings.xml><?xml version="1.0" encoding="utf-8"?>
<sst xmlns="http://schemas.openxmlformats.org/spreadsheetml/2006/main" count="37" uniqueCount="27">
  <si>
    <t>Overzicht uren - AVSA24</t>
  </si>
  <si>
    <t>DATUM</t>
  </si>
  <si>
    <t>NAAM</t>
  </si>
  <si>
    <t>Eindtotaal</t>
  </si>
  <si>
    <t>Theo Jans</t>
  </si>
  <si>
    <t>Wim Marneffe</t>
  </si>
  <si>
    <t>Tom Vandersteegen</t>
  </si>
  <si>
    <t>Gegevens</t>
  </si>
  <si>
    <t>profiel</t>
  </si>
  <si>
    <t>eenheidsprijs (excl. btw)</t>
  </si>
  <si>
    <t>uren</t>
  </si>
  <si>
    <t>dagen</t>
  </si>
  <si>
    <t>prijs</t>
  </si>
  <si>
    <t>btw</t>
  </si>
  <si>
    <t>totaal prijs (incl. btw)</t>
  </si>
  <si>
    <t>manager</t>
  </si>
  <si>
    <t>senior</t>
  </si>
  <si>
    <t>junior</t>
  </si>
  <si>
    <t>Totalen</t>
  </si>
  <si>
    <t>persoonsdagen %</t>
  </si>
  <si>
    <t>reeds gefactureerd</t>
  </si>
  <si>
    <t>nu te factureren</t>
  </si>
  <si>
    <t>nog te factureren</t>
  </si>
  <si>
    <t>Jolien Holsteyns</t>
  </si>
  <si>
    <t>Te factureren periode 01/01/2026 – 28/02/2026</t>
  </si>
  <si>
    <t>Cato Thommis</t>
  </si>
  <si>
    <t>Ulrike Uitdebroeks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</si>
</sst>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0.00"/>
    <numFmt numFmtId="165" formatCode="0.0"/>
    <numFmt numFmtId="166" formatCode="&quot;€&quot;\ 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name val="Calibri"/>
      <family val="2"/>
      <scheme val="minor"/>
    </font>
    <font>
      <sz val="1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666666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D9D9D9"/>
      </left>
      <right/>
      <top style="medium">
        <color rgb="FFD9D9D9"/>
      </top>
      <bottom style="medium">
        <color rgb="FFCCCCCC"/>
      </bottom>
      <diagonal/>
    </border>
    <border>
      <left/>
      <right/>
      <top style="medium">
        <color rgb="FFD9D9D9"/>
      </top>
      <bottom style="medium">
        <color rgb="FFCCCCCC"/>
      </bottom>
      <diagonal/>
    </border>
    <border>
      <left/>
      <right style="medium">
        <color rgb="FFCCCCCC"/>
      </right>
      <top style="medium">
        <color rgb="FFD9D9D9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14" fontId="6" fillId="3" borderId="3" xfId="0" applyNumberFormat="1" applyFont="1" applyFill="1" applyBorder="1" applyAlignment="1">
      <alignment horizontal="right" wrapText="1"/>
    </xf>
    <xf numFmtId="0" fontId="6" fillId="3" borderId="3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right" wrapText="1"/>
    </xf>
    <xf numFmtId="0" fontId="7" fillId="4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7" fillId="5" borderId="6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right" wrapText="1"/>
    </xf>
    <xf numFmtId="0" fontId="10" fillId="2" borderId="10" xfId="0" applyFont="1" applyFill="1" applyBorder="1" applyAlignment="1">
      <alignment horizontal="left" vertical="top" wrapText="1"/>
    </xf>
    <xf numFmtId="164" fontId="10" fillId="2" borderId="10" xfId="0" applyNumberFormat="1" applyFont="1" applyFill="1" applyBorder="1" applyAlignment="1">
      <alignment horizontal="right" vertical="top" shrinkToFit="1"/>
    </xf>
    <xf numFmtId="0" fontId="9" fillId="2" borderId="10" xfId="0" applyFont="1" applyFill="1" applyBorder="1" applyAlignment="1">
      <alignment horizontal="center" vertical="top" wrapText="1"/>
    </xf>
    <xf numFmtId="166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top"/>
    </xf>
    <xf numFmtId="9" fontId="0" fillId="0" borderId="0" xfId="0" applyNumberFormat="1"/>
    <xf numFmtId="9" fontId="0" fillId="0" borderId="0" xfId="1" applyNumberFormat="1" applyFont="1"/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166" fontId="11" fillId="6" borderId="1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right" wrapText="1"/>
    </xf>
    <xf numFmtId="0" fontId="8" fillId="0" borderId="0" xfId="0" applyFont="1" applyFill="1" applyBorder="1" applyAlignment="1">
      <alignment horizontal="right" wrapText="1"/>
    </xf>
    <xf numFmtId="165" fontId="12" fillId="8" borderId="10" xfId="0" applyNumberFormat="1" applyFont="1" applyFill="1" applyBorder="1" applyAlignment="1">
      <alignment horizontal="right" vertical="top" shrinkToFit="1"/>
    </xf>
    <xf numFmtId="166" fontId="12" fillId="8" borderId="10" xfId="0" applyNumberFormat="1" applyFont="1" applyFill="1" applyBorder="1" applyAlignment="1">
      <alignment horizontal="right" vertical="top" shrinkToFit="1"/>
    </xf>
    <xf numFmtId="166" fontId="11" fillId="9" borderId="14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top" wrapText="1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D673-76CC-4ABF-AF89-309F3712276F}">
  <dimension ref="B1:X11"/>
  <sheetViews>
    <sheetView workbookViewId="0">
      <selection activeCell="B21" sqref="B21"/>
    </sheetView>
  </sheetViews>
  <sheetFormatPr defaultRowHeight="14.5" x14ac:dyDescent="0.35"/>
  <cols>
    <col min="1" max="1" width="8.7265625" style="27"/>
    <col min="2" max="2" width="20.6328125" style="27" customWidth="1"/>
    <col min="3" max="6" width="9.6328125" style="27" bestFit="1" customWidth="1"/>
    <col min="7" max="9" width="9.90625" style="27" bestFit="1" customWidth="1"/>
    <col min="10" max="24" width="10.08984375" style="27" bestFit="1" customWidth="1"/>
    <col min="25" max="25" width="10.6328125" style="27" bestFit="1" customWidth="1"/>
    <col min="26" max="16384" width="8.7265625" style="27"/>
  </cols>
  <sheetData>
    <row r="1" spans="2:24" ht="16" customHeight="1" thickBot="1" x14ac:dyDescent="0.4"/>
    <row r="2" spans="2:24" ht="16" customHeight="1" thickBot="1" x14ac:dyDescent="0.4">
      <c r="B2" s="35" t="s">
        <v>0</v>
      </c>
      <c r="C2" s="36"/>
      <c r="D2" s="36"/>
      <c r="E2" s="36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8"/>
    </row>
    <row r="3" spans="2:24" ht="15" thickBot="1" x14ac:dyDescent="0.4">
      <c r="B3" s="2"/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28"/>
    </row>
    <row r="4" spans="2:24" ht="15" thickBot="1" x14ac:dyDescent="0.4">
      <c r="B4" s="5" t="s">
        <v>2</v>
      </c>
      <c r="C4" s="6">
        <v>46027</v>
      </c>
      <c r="D4" s="6">
        <v>46028</v>
      </c>
      <c r="E4" s="6">
        <v>46029</v>
      </c>
      <c r="F4" s="6">
        <v>46030</v>
      </c>
      <c r="G4" s="6">
        <v>46031</v>
      </c>
      <c r="H4" s="6">
        <v>46034</v>
      </c>
      <c r="I4" s="6">
        <v>46035</v>
      </c>
      <c r="J4" s="6">
        <v>46036</v>
      </c>
      <c r="K4" s="6">
        <v>46037</v>
      </c>
      <c r="L4" s="6">
        <v>46038</v>
      </c>
      <c r="M4" s="6">
        <v>46041</v>
      </c>
      <c r="N4" s="6">
        <v>46042</v>
      </c>
      <c r="O4" s="6">
        <v>46043</v>
      </c>
      <c r="P4" s="6">
        <v>46044</v>
      </c>
      <c r="Q4" s="6">
        <v>46045</v>
      </c>
      <c r="R4" s="6">
        <v>46048</v>
      </c>
      <c r="S4" s="6">
        <v>46049</v>
      </c>
      <c r="T4" s="6">
        <v>46050</v>
      </c>
      <c r="U4" s="6">
        <v>46051</v>
      </c>
      <c r="V4" s="6">
        <v>46052</v>
      </c>
      <c r="W4" s="7" t="s">
        <v>3</v>
      </c>
      <c r="X4" s="29"/>
    </row>
    <row r="5" spans="2:24" ht="15.5" thickTop="1" thickBot="1" x14ac:dyDescent="0.4">
      <c r="B5" s="8" t="s">
        <v>25</v>
      </c>
      <c r="C5" s="9"/>
      <c r="D5" s="10">
        <v>3.8</v>
      </c>
      <c r="E5" s="10">
        <v>7.6</v>
      </c>
      <c r="F5" s="10">
        <v>3.8</v>
      </c>
      <c r="G5" s="10">
        <v>7.6</v>
      </c>
      <c r="H5" s="10">
        <v>7.6</v>
      </c>
      <c r="I5" s="10">
        <v>7.6</v>
      </c>
      <c r="J5" s="10">
        <v>7.6</v>
      </c>
      <c r="K5" s="9"/>
      <c r="L5" s="10">
        <v>3.8</v>
      </c>
      <c r="M5" s="9"/>
      <c r="N5" s="10">
        <v>7.6</v>
      </c>
      <c r="O5" s="9"/>
      <c r="P5" s="10">
        <v>3.8</v>
      </c>
      <c r="Q5" s="10">
        <v>7.6</v>
      </c>
      <c r="R5" s="9"/>
      <c r="S5" s="10">
        <v>7.6</v>
      </c>
      <c r="T5" s="10">
        <v>3.8</v>
      </c>
      <c r="U5" s="10">
        <v>7.6</v>
      </c>
      <c r="V5" s="10">
        <v>7.6</v>
      </c>
      <c r="W5" s="10">
        <v>95</v>
      </c>
      <c r="X5" s="30"/>
    </row>
    <row r="6" spans="2:24" ht="15" thickBot="1" x14ac:dyDescent="0.4">
      <c r="B6" s="8" t="s">
        <v>23</v>
      </c>
      <c r="C6" s="10">
        <v>7.6</v>
      </c>
      <c r="D6" s="10">
        <v>7.6</v>
      </c>
      <c r="E6" s="10">
        <v>7.6</v>
      </c>
      <c r="F6" s="10">
        <v>7.6</v>
      </c>
      <c r="G6" s="10">
        <v>7.6</v>
      </c>
      <c r="H6" s="10">
        <v>7.6</v>
      </c>
      <c r="I6" s="10">
        <v>7.6</v>
      </c>
      <c r="J6" s="10">
        <v>7.6</v>
      </c>
      <c r="K6" s="10">
        <v>3.8</v>
      </c>
      <c r="L6" s="10">
        <v>3.8</v>
      </c>
      <c r="M6" s="10">
        <v>3.8</v>
      </c>
      <c r="N6" s="10">
        <v>7.6</v>
      </c>
      <c r="O6" s="10">
        <v>7.6</v>
      </c>
      <c r="P6" s="10">
        <v>7.6</v>
      </c>
      <c r="Q6" s="10">
        <v>7.6</v>
      </c>
      <c r="R6" s="10">
        <v>7.6</v>
      </c>
      <c r="S6" s="10">
        <v>7.6</v>
      </c>
      <c r="T6" s="10">
        <v>7.6</v>
      </c>
      <c r="U6" s="10">
        <v>7.6</v>
      </c>
      <c r="V6" s="9"/>
      <c r="W6" s="10">
        <v>133</v>
      </c>
      <c r="X6" s="30"/>
    </row>
    <row r="7" spans="2:24" ht="15" thickBot="1" x14ac:dyDescent="0.4">
      <c r="B7" s="8" t="s">
        <v>26</v>
      </c>
      <c r="C7" s="9"/>
      <c r="D7" s="10">
        <v>7.6</v>
      </c>
      <c r="E7" s="10">
        <v>7.6</v>
      </c>
      <c r="F7" s="9"/>
      <c r="G7" s="9"/>
      <c r="H7" s="10">
        <v>7.6</v>
      </c>
      <c r="I7" s="9"/>
      <c r="J7" s="9"/>
      <c r="K7" s="9"/>
      <c r="L7" s="10">
        <v>3.8</v>
      </c>
      <c r="M7" s="10">
        <v>7.6</v>
      </c>
      <c r="N7" s="9"/>
      <c r="O7" s="10">
        <v>7.6</v>
      </c>
      <c r="P7" s="10">
        <v>3.8</v>
      </c>
      <c r="Q7" s="9"/>
      <c r="R7" s="10">
        <v>7.6</v>
      </c>
      <c r="S7" s="9"/>
      <c r="T7" s="10">
        <v>3.8</v>
      </c>
      <c r="U7" s="9"/>
      <c r="V7" s="9"/>
      <c r="W7" s="10">
        <v>57</v>
      </c>
      <c r="X7" s="30"/>
    </row>
    <row r="8" spans="2:24" ht="15" thickBot="1" x14ac:dyDescent="0.4">
      <c r="B8" s="8" t="s">
        <v>4</v>
      </c>
      <c r="C8" s="10">
        <v>7.6</v>
      </c>
      <c r="D8" s="10">
        <v>3.8</v>
      </c>
      <c r="E8" s="10">
        <v>7.6</v>
      </c>
      <c r="F8" s="10">
        <v>3.8</v>
      </c>
      <c r="G8" s="9"/>
      <c r="H8" s="10">
        <v>7.6</v>
      </c>
      <c r="I8" s="10">
        <v>7.6</v>
      </c>
      <c r="J8" s="10">
        <v>3.8</v>
      </c>
      <c r="K8" s="10">
        <v>3.8</v>
      </c>
      <c r="L8" s="10">
        <v>3.8</v>
      </c>
      <c r="M8" s="10">
        <v>3.8</v>
      </c>
      <c r="N8" s="10">
        <v>3.8</v>
      </c>
      <c r="O8" s="10">
        <v>3.8</v>
      </c>
      <c r="P8" s="10">
        <v>3.8</v>
      </c>
      <c r="Q8" s="10">
        <v>3.8</v>
      </c>
      <c r="R8" s="10">
        <v>3.8</v>
      </c>
      <c r="S8" s="9"/>
      <c r="T8" s="10">
        <v>7.6</v>
      </c>
      <c r="U8" s="10">
        <v>7.6</v>
      </c>
      <c r="V8" s="10">
        <v>3.8</v>
      </c>
      <c r="W8" s="10">
        <v>91.2</v>
      </c>
      <c r="X8" s="31"/>
    </row>
    <row r="9" spans="2:24" ht="15" thickBot="1" x14ac:dyDescent="0.4">
      <c r="B9" s="8" t="s">
        <v>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>
        <v>7.6</v>
      </c>
      <c r="P9" s="10">
        <v>7.6</v>
      </c>
      <c r="Q9" s="9"/>
      <c r="R9" s="10">
        <v>3.8</v>
      </c>
      <c r="S9" s="10">
        <v>3.8</v>
      </c>
      <c r="T9" s="10">
        <v>3.8</v>
      </c>
      <c r="U9" s="10">
        <v>7.6</v>
      </c>
      <c r="V9" s="10">
        <v>7.6</v>
      </c>
      <c r="W9" s="10">
        <v>41.8</v>
      </c>
    </row>
    <row r="10" spans="2:24" ht="15" thickBot="1" x14ac:dyDescent="0.4">
      <c r="B10" s="11" t="s">
        <v>5</v>
      </c>
      <c r="C10" s="12"/>
      <c r="D10" s="12"/>
      <c r="E10" s="12"/>
      <c r="F10" s="13">
        <v>3.8</v>
      </c>
      <c r="G10" s="12"/>
      <c r="H10" s="12"/>
      <c r="I10" s="12"/>
      <c r="J10" s="12"/>
      <c r="K10" s="12"/>
      <c r="L10" s="13">
        <v>3.8</v>
      </c>
      <c r="M10" s="12"/>
      <c r="N10" s="12"/>
      <c r="O10" s="12"/>
      <c r="P10" s="12"/>
      <c r="Q10" s="13">
        <v>3.8</v>
      </c>
      <c r="R10" s="12"/>
      <c r="S10" s="12"/>
      <c r="T10" s="12"/>
      <c r="U10" s="12"/>
      <c r="V10" s="13">
        <v>3.8</v>
      </c>
      <c r="W10" s="13">
        <v>15.2</v>
      </c>
    </row>
    <row r="11" spans="2:24" ht="15.5" thickTop="1" thickBot="1" x14ac:dyDescent="0.4">
      <c r="B11" s="4"/>
      <c r="C11" s="14">
        <v>15.2</v>
      </c>
      <c r="D11" s="14">
        <v>22.8</v>
      </c>
      <c r="E11" s="14">
        <v>30.4</v>
      </c>
      <c r="F11" s="14">
        <v>19</v>
      </c>
      <c r="G11" s="14">
        <v>15.2</v>
      </c>
      <c r="H11" s="14">
        <v>30.4</v>
      </c>
      <c r="I11" s="14">
        <v>22.8</v>
      </c>
      <c r="J11" s="14">
        <v>19</v>
      </c>
      <c r="K11" s="14">
        <v>7.6</v>
      </c>
      <c r="L11" s="14">
        <v>19</v>
      </c>
      <c r="M11" s="14">
        <v>15.2</v>
      </c>
      <c r="N11" s="14">
        <v>19</v>
      </c>
      <c r="O11" s="14">
        <v>26.6</v>
      </c>
      <c r="P11" s="14">
        <v>26.6</v>
      </c>
      <c r="Q11" s="14">
        <v>22.8</v>
      </c>
      <c r="R11" s="14">
        <v>22.8</v>
      </c>
      <c r="S11" s="14">
        <v>19</v>
      </c>
      <c r="T11" s="14">
        <v>26.6</v>
      </c>
      <c r="U11" s="14">
        <v>30.4</v>
      </c>
      <c r="V11" s="14">
        <v>22.8</v>
      </c>
      <c r="W11" s="14">
        <v>433.2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E32F-D91D-4F1A-B6BC-1980DDCCDE29}">
  <dimension ref="B1:Y11"/>
  <sheetViews>
    <sheetView workbookViewId="0">
      <selection activeCell="O18" sqref="O18"/>
    </sheetView>
  </sheetViews>
  <sheetFormatPr defaultRowHeight="14.5" x14ac:dyDescent="0.35"/>
  <cols>
    <col min="1" max="1" width="8.7265625" style="27"/>
    <col min="2" max="2" width="22.36328125" style="27" customWidth="1"/>
    <col min="3" max="6" width="9.6328125" style="27" bestFit="1" customWidth="1"/>
    <col min="7" max="7" width="9.08984375" style="27" bestFit="1" customWidth="1"/>
    <col min="8" max="8" width="9.6328125" style="27" bestFit="1" customWidth="1"/>
    <col min="9" max="9" width="9.90625" style="27" bestFit="1" customWidth="1"/>
    <col min="10" max="24" width="10.08984375" style="27" bestFit="1" customWidth="1"/>
    <col min="25" max="25" width="10.6328125" style="27" bestFit="1" customWidth="1"/>
    <col min="26" max="16384" width="8.7265625" style="27"/>
  </cols>
  <sheetData>
    <row r="1" spans="2:25" ht="15" thickBot="1" x14ac:dyDescent="0.4"/>
    <row r="2" spans="2:25" ht="16" customHeight="1" thickBot="1" x14ac:dyDescent="0.4">
      <c r="B2" s="35" t="s">
        <v>0</v>
      </c>
      <c r="C2" s="36"/>
      <c r="D2" s="36"/>
      <c r="E2" s="36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15" thickBot="1" x14ac:dyDescent="0.4">
      <c r="B3" s="2"/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"/>
      <c r="Y3" s="1"/>
    </row>
    <row r="4" spans="2:25" ht="15" thickBot="1" x14ac:dyDescent="0.4">
      <c r="B4" s="5" t="s">
        <v>2</v>
      </c>
      <c r="C4" s="6">
        <v>46055</v>
      </c>
      <c r="D4" s="6">
        <v>46056</v>
      </c>
      <c r="E4" s="6">
        <v>46057</v>
      </c>
      <c r="F4" s="6">
        <v>46058</v>
      </c>
      <c r="G4" s="6">
        <v>46059</v>
      </c>
      <c r="H4" s="6">
        <v>46062</v>
      </c>
      <c r="I4" s="6">
        <v>46063</v>
      </c>
      <c r="J4" s="6">
        <v>46064</v>
      </c>
      <c r="K4" s="6">
        <v>46065</v>
      </c>
      <c r="L4" s="6">
        <v>46066</v>
      </c>
      <c r="M4" s="6">
        <v>46069</v>
      </c>
      <c r="N4" s="6">
        <v>46070</v>
      </c>
      <c r="O4" s="6">
        <v>46071</v>
      </c>
      <c r="P4" s="6">
        <v>46072</v>
      </c>
      <c r="Q4" s="6">
        <v>46073</v>
      </c>
      <c r="R4" s="6">
        <v>46076</v>
      </c>
      <c r="S4" s="6">
        <v>46077</v>
      </c>
      <c r="T4" s="6">
        <v>46078</v>
      </c>
      <c r="U4" s="6">
        <v>46079</v>
      </c>
      <c r="V4" s="6">
        <v>46080</v>
      </c>
      <c r="W4" s="7" t="s">
        <v>3</v>
      </c>
      <c r="X4" s="1"/>
      <c r="Y4" s="1"/>
    </row>
    <row r="5" spans="2:25" ht="15.5" thickTop="1" thickBot="1" x14ac:dyDescent="0.4">
      <c r="B5" s="8" t="s">
        <v>25</v>
      </c>
      <c r="C5" s="9"/>
      <c r="D5" s="10">
        <v>3.8</v>
      </c>
      <c r="E5" s="9"/>
      <c r="F5" s="10">
        <v>3.8</v>
      </c>
      <c r="G5" s="10">
        <v>7.6</v>
      </c>
      <c r="H5" s="9"/>
      <c r="I5" s="10">
        <v>7.6</v>
      </c>
      <c r="J5" s="9"/>
      <c r="K5" s="9"/>
      <c r="L5" s="10">
        <v>7.6</v>
      </c>
      <c r="M5" s="9"/>
      <c r="N5" s="10">
        <v>3.8</v>
      </c>
      <c r="O5" s="10">
        <v>7.6</v>
      </c>
      <c r="P5" s="10">
        <v>3.8</v>
      </c>
      <c r="Q5" s="10">
        <v>7.6</v>
      </c>
      <c r="R5" s="10">
        <v>7.6</v>
      </c>
      <c r="S5" s="9"/>
      <c r="T5" s="10">
        <v>7.6</v>
      </c>
      <c r="U5" s="9"/>
      <c r="V5" s="9"/>
      <c r="W5" s="10">
        <v>68.400000000000006</v>
      </c>
      <c r="X5" s="1"/>
      <c r="Y5" s="1"/>
    </row>
    <row r="6" spans="2:25" ht="15" thickBot="1" x14ac:dyDescent="0.4">
      <c r="B6" s="8" t="s">
        <v>23</v>
      </c>
      <c r="C6" s="10">
        <v>3.8</v>
      </c>
      <c r="D6" s="10">
        <v>3.8</v>
      </c>
      <c r="E6" s="10">
        <v>7.6</v>
      </c>
      <c r="F6" s="10">
        <v>7.6</v>
      </c>
      <c r="G6" s="10">
        <v>3.8</v>
      </c>
      <c r="H6" s="10">
        <v>3.8</v>
      </c>
      <c r="I6" s="10">
        <v>3.8</v>
      </c>
      <c r="J6" s="9"/>
      <c r="K6" s="10">
        <v>7.6</v>
      </c>
      <c r="L6" s="10">
        <v>7.6</v>
      </c>
      <c r="M6" s="9"/>
      <c r="N6" s="10">
        <v>3.8</v>
      </c>
      <c r="O6" s="10">
        <v>3.8</v>
      </c>
      <c r="P6" s="10">
        <v>7.6</v>
      </c>
      <c r="Q6" s="10">
        <v>7.6</v>
      </c>
      <c r="R6" s="10">
        <v>7.6</v>
      </c>
      <c r="S6" s="10">
        <v>7.6</v>
      </c>
      <c r="T6" s="10">
        <v>7.6</v>
      </c>
      <c r="U6" s="10">
        <v>7.6</v>
      </c>
      <c r="V6" s="10">
        <v>7.6</v>
      </c>
      <c r="W6" s="10">
        <v>110.2</v>
      </c>
      <c r="X6" s="1"/>
      <c r="Y6" s="1"/>
    </row>
    <row r="7" spans="2:25" ht="15" thickBot="1" x14ac:dyDescent="0.4">
      <c r="B7" s="8" t="s">
        <v>26</v>
      </c>
      <c r="C7" s="10">
        <v>7.6</v>
      </c>
      <c r="D7" s="10">
        <v>7.6</v>
      </c>
      <c r="E7" s="10">
        <v>7.6</v>
      </c>
      <c r="F7" s="9"/>
      <c r="G7" s="9"/>
      <c r="H7" s="10">
        <v>7.6</v>
      </c>
      <c r="I7" s="10">
        <v>7.6</v>
      </c>
      <c r="J7" s="9"/>
      <c r="K7" s="9"/>
      <c r="L7" s="9"/>
      <c r="M7" s="10">
        <v>7.6</v>
      </c>
      <c r="N7" s="9"/>
      <c r="O7" s="9"/>
      <c r="P7" s="10">
        <v>7.6</v>
      </c>
      <c r="Q7" s="9"/>
      <c r="R7" s="9"/>
      <c r="S7" s="10">
        <v>7.6</v>
      </c>
      <c r="T7" s="10">
        <v>3.8</v>
      </c>
      <c r="U7" s="9"/>
      <c r="V7" s="10">
        <v>3.8</v>
      </c>
      <c r="W7" s="10">
        <v>68.400000000000006</v>
      </c>
      <c r="X7" s="1"/>
      <c r="Y7" s="1"/>
    </row>
    <row r="8" spans="2:25" ht="15" thickBot="1" x14ac:dyDescent="0.4">
      <c r="B8" s="8" t="s">
        <v>4</v>
      </c>
      <c r="C8" s="10">
        <v>7.6</v>
      </c>
      <c r="D8" s="10">
        <v>3.8</v>
      </c>
      <c r="E8" s="10">
        <v>3.8</v>
      </c>
      <c r="F8" s="10">
        <v>3.8</v>
      </c>
      <c r="G8" s="10">
        <v>3.8</v>
      </c>
      <c r="H8" s="9"/>
      <c r="I8" s="10">
        <v>3.8</v>
      </c>
      <c r="J8" s="10">
        <v>3.8</v>
      </c>
      <c r="K8" s="10">
        <v>3.8</v>
      </c>
      <c r="L8" s="10">
        <v>3.8</v>
      </c>
      <c r="M8" s="10">
        <v>7.6</v>
      </c>
      <c r="N8" s="9"/>
      <c r="O8" s="10">
        <v>3.8</v>
      </c>
      <c r="P8" s="10">
        <v>3.8</v>
      </c>
      <c r="Q8" s="10">
        <v>3.8</v>
      </c>
      <c r="R8" s="10">
        <v>7.6</v>
      </c>
      <c r="S8" s="10">
        <v>3.8</v>
      </c>
      <c r="T8" s="10">
        <v>3.8</v>
      </c>
      <c r="U8" s="10">
        <v>3.8</v>
      </c>
      <c r="V8" s="10">
        <v>3.8</v>
      </c>
      <c r="W8" s="10">
        <v>79.8</v>
      </c>
      <c r="X8" s="1"/>
      <c r="Y8" s="1"/>
    </row>
    <row r="9" spans="2:25" ht="15" thickBot="1" x14ac:dyDescent="0.4">
      <c r="B9" s="8" t="s">
        <v>6</v>
      </c>
      <c r="C9" s="10">
        <v>7.6</v>
      </c>
      <c r="D9" s="10">
        <v>7.6</v>
      </c>
      <c r="E9" s="10">
        <v>7.6</v>
      </c>
      <c r="F9" s="9"/>
      <c r="G9" s="10">
        <v>3.8</v>
      </c>
      <c r="H9" s="10">
        <v>3.8</v>
      </c>
      <c r="I9" s="10">
        <v>7.6</v>
      </c>
      <c r="J9" s="9"/>
      <c r="K9" s="10">
        <v>7.6</v>
      </c>
      <c r="L9" s="10">
        <v>7.6</v>
      </c>
      <c r="M9" s="9"/>
      <c r="N9" s="10">
        <v>7.6</v>
      </c>
      <c r="O9" s="10">
        <v>3.8</v>
      </c>
      <c r="P9" s="10">
        <v>3.8</v>
      </c>
      <c r="Q9" s="10">
        <v>3.8</v>
      </c>
      <c r="R9" s="10">
        <v>7.6</v>
      </c>
      <c r="S9" s="10">
        <v>7.6</v>
      </c>
      <c r="T9" s="10">
        <v>3.8</v>
      </c>
      <c r="U9" s="10">
        <v>3.8</v>
      </c>
      <c r="V9" s="10">
        <v>7.6</v>
      </c>
      <c r="W9" s="10">
        <v>102.6</v>
      </c>
      <c r="X9" s="1"/>
      <c r="Y9" s="1"/>
    </row>
    <row r="10" spans="2:25" ht="15" thickBot="1" x14ac:dyDescent="0.4">
      <c r="B10" s="11" t="s">
        <v>5</v>
      </c>
      <c r="C10" s="12"/>
      <c r="D10" s="12"/>
      <c r="E10" s="12"/>
      <c r="F10" s="12"/>
      <c r="G10" s="12"/>
      <c r="H10" s="12"/>
      <c r="I10" s="12"/>
      <c r="J10" s="12"/>
      <c r="K10" s="12"/>
      <c r="L10" s="13">
        <v>3.8</v>
      </c>
      <c r="M10" s="12"/>
      <c r="N10" s="12"/>
      <c r="O10" s="12"/>
      <c r="P10" s="12"/>
      <c r="Q10" s="12"/>
      <c r="R10" s="12"/>
      <c r="S10" s="13">
        <v>3.8</v>
      </c>
      <c r="T10" s="12"/>
      <c r="U10" s="12"/>
      <c r="V10" s="12"/>
      <c r="W10" s="13">
        <v>7.6</v>
      </c>
      <c r="X10" s="1"/>
      <c r="Y10" s="1"/>
    </row>
    <row r="11" spans="2:25" ht="15.5" thickTop="1" thickBot="1" x14ac:dyDescent="0.4">
      <c r="B11" s="4"/>
      <c r="C11" s="14">
        <v>26.6</v>
      </c>
      <c r="D11" s="14">
        <v>26.6</v>
      </c>
      <c r="E11" s="14">
        <v>26.6</v>
      </c>
      <c r="F11" s="14">
        <v>15.2</v>
      </c>
      <c r="G11" s="14">
        <v>19</v>
      </c>
      <c r="H11" s="14">
        <v>15.2</v>
      </c>
      <c r="I11" s="14">
        <v>30.4</v>
      </c>
      <c r="J11" s="14">
        <v>3.8</v>
      </c>
      <c r="K11" s="14">
        <v>19</v>
      </c>
      <c r="L11" s="14">
        <v>30.4</v>
      </c>
      <c r="M11" s="14">
        <v>15.2</v>
      </c>
      <c r="N11" s="14">
        <v>15.2</v>
      </c>
      <c r="O11" s="14">
        <v>19</v>
      </c>
      <c r="P11" s="14">
        <v>26.6</v>
      </c>
      <c r="Q11" s="14">
        <v>22.8</v>
      </c>
      <c r="R11" s="14">
        <v>30.4</v>
      </c>
      <c r="S11" s="14">
        <v>30.4</v>
      </c>
      <c r="T11" s="14">
        <v>26.6</v>
      </c>
      <c r="U11" s="14">
        <v>15.2</v>
      </c>
      <c r="V11" s="14">
        <v>22.8</v>
      </c>
      <c r="W11" s="14">
        <v>437</v>
      </c>
      <c r="X11" s="1"/>
      <c r="Y11" s="1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8F3E-35E5-478D-9AC3-20383C3E08E0}">
  <sheetPr>
    <tabColor theme="9" tint="-0.249977111117893"/>
  </sheetPr>
  <dimension ref="B3:N11"/>
  <sheetViews>
    <sheetView tabSelected="1" workbookViewId="0">
      <selection activeCell="F12" sqref="F12"/>
    </sheetView>
  </sheetViews>
  <sheetFormatPr defaultRowHeight="14.5" x14ac:dyDescent="0.35"/>
  <cols>
    <col min="3" max="3" width="12.6328125" customWidth="1"/>
    <col min="4" max="4" width="10" customWidth="1"/>
    <col min="5" max="5" width="9.36328125" customWidth="1"/>
    <col min="6" max="6" width="10.6328125" customWidth="1"/>
    <col min="8" max="8" width="16" customWidth="1"/>
    <col min="9" max="9" width="16.6328125" customWidth="1"/>
    <col min="10" max="10" width="17.453125" customWidth="1"/>
    <col min="11" max="12" width="17.54296875" customWidth="1"/>
  </cols>
  <sheetData>
    <row r="3" spans="2:14" x14ac:dyDescent="0.35">
      <c r="B3" s="38" t="s">
        <v>7</v>
      </c>
      <c r="C3" s="39"/>
      <c r="D3" s="38" t="s">
        <v>24</v>
      </c>
      <c r="E3" s="40"/>
      <c r="F3" s="40"/>
      <c r="G3" s="40"/>
      <c r="H3" s="39"/>
      <c r="I3" s="21" t="s">
        <v>19</v>
      </c>
      <c r="J3" s="24" t="s">
        <v>20</v>
      </c>
      <c r="K3" s="25" t="s">
        <v>21</v>
      </c>
      <c r="L3" s="24" t="s">
        <v>22</v>
      </c>
    </row>
    <row r="4" spans="2:14" ht="34.75" customHeight="1" x14ac:dyDescent="0.35">
      <c r="B4" s="15" t="s">
        <v>8</v>
      </c>
      <c r="C4" s="15" t="s">
        <v>9</v>
      </c>
      <c r="D4" s="17" t="s">
        <v>10</v>
      </c>
      <c r="E4" s="17" t="s">
        <v>11</v>
      </c>
      <c r="F4" s="17" t="s">
        <v>12</v>
      </c>
      <c r="G4" s="17" t="s">
        <v>13</v>
      </c>
      <c r="H4" s="17" t="s">
        <v>14</v>
      </c>
      <c r="J4" s="26">
        <v>36675</v>
      </c>
      <c r="K4" s="26">
        <f>H8</f>
        <v>105722.77957999999</v>
      </c>
      <c r="L4" s="34">
        <f>339644.9-(J4+K4)</f>
        <v>197247.12042000005</v>
      </c>
    </row>
    <row r="5" spans="2:14" x14ac:dyDescent="0.35">
      <c r="B5" s="15" t="s">
        <v>15</v>
      </c>
      <c r="C5" s="16">
        <v>154.13</v>
      </c>
      <c r="D5" s="32">
        <f>SUM('januari 2026'!W10,'februari 2026'!W10)</f>
        <v>22.799999999999997</v>
      </c>
      <c r="E5" s="32">
        <f>D5/7.6</f>
        <v>2.9999999999999996</v>
      </c>
      <c r="F5" s="33">
        <f>D5*C5</f>
        <v>3514.1639999999993</v>
      </c>
      <c r="G5" s="33">
        <f>F5*0.21</f>
        <v>737.97443999999984</v>
      </c>
      <c r="H5" s="33">
        <f>F5+G5</f>
        <v>4252.1384399999988</v>
      </c>
      <c r="I5" s="20">
        <f>E5/E8</f>
        <v>2.620087336244541E-2</v>
      </c>
      <c r="K5" s="19"/>
      <c r="L5" s="23"/>
      <c r="N5" s="23"/>
    </row>
    <row r="6" spans="2:14" x14ac:dyDescent="0.35">
      <c r="B6" s="15" t="s">
        <v>16</v>
      </c>
      <c r="C6" s="16">
        <v>126.61</v>
      </c>
      <c r="D6" s="32">
        <f>SUM('januari 2026'!W8:W9,'februari 2026'!W8:W9)</f>
        <v>315.39999999999998</v>
      </c>
      <c r="E6" s="32">
        <f t="shared" ref="E6:E7" si="0">D6/7.6</f>
        <v>41.5</v>
      </c>
      <c r="F6" s="33">
        <f t="shared" ref="F6:F7" si="1">D6*C6</f>
        <v>39932.793999999994</v>
      </c>
      <c r="G6" s="33">
        <f>F6*0.21</f>
        <v>8385.8867399999981</v>
      </c>
      <c r="H6" s="33">
        <f t="shared" ref="H6:H7" si="2">F6+G6</f>
        <v>48318.680739999996</v>
      </c>
      <c r="I6" s="20">
        <f>E6/E8</f>
        <v>0.36244541484716158</v>
      </c>
      <c r="K6" s="19"/>
      <c r="L6" s="23"/>
      <c r="N6" s="23"/>
    </row>
    <row r="7" spans="2:14" x14ac:dyDescent="0.35">
      <c r="B7" s="15" t="s">
        <v>17</v>
      </c>
      <c r="C7" s="16">
        <v>82.57</v>
      </c>
      <c r="D7" s="32">
        <f>SUM('januari 2026'!W5:W7,'februari 2026'!W5:W7)</f>
        <v>532</v>
      </c>
      <c r="E7" s="32">
        <f t="shared" si="0"/>
        <v>70</v>
      </c>
      <c r="F7" s="33">
        <f t="shared" si="1"/>
        <v>43927.24</v>
      </c>
      <c r="G7" s="33">
        <f t="shared" ref="G7" si="3">F7*0.21</f>
        <v>9224.7203999999983</v>
      </c>
      <c r="H7" s="33">
        <f t="shared" si="2"/>
        <v>53151.960399999996</v>
      </c>
      <c r="I7" s="20">
        <f>E7/E8</f>
        <v>0.611353711790393</v>
      </c>
      <c r="K7" s="19"/>
      <c r="L7" s="23"/>
      <c r="N7" s="23"/>
    </row>
    <row r="8" spans="2:14" x14ac:dyDescent="0.35">
      <c r="B8" s="38" t="s">
        <v>18</v>
      </c>
      <c r="C8" s="39"/>
      <c r="D8" s="32">
        <f>SUM(D5:D7)</f>
        <v>870.2</v>
      </c>
      <c r="E8" s="32">
        <f>SUM(E5:E7)</f>
        <v>114.5</v>
      </c>
      <c r="F8" s="33">
        <f>SUM(F5:F7)</f>
        <v>87374.197999999989</v>
      </c>
      <c r="G8" s="33">
        <f>SUM(G5:G7)</f>
        <v>18348.581579999998</v>
      </c>
      <c r="H8" s="33">
        <f>SUM(H5:H7)</f>
        <v>105722.77957999999</v>
      </c>
      <c r="K8" s="19"/>
      <c r="L8" s="22"/>
      <c r="N8" s="23"/>
    </row>
    <row r="11" spans="2:14" x14ac:dyDescent="0.35">
      <c r="F11" s="18"/>
      <c r="J11" s="18"/>
      <c r="K11" s="18"/>
    </row>
  </sheetData>
  <mergeCells count="3">
    <mergeCell ref="B3:C3"/>
    <mergeCell ref="D3:H3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januari 2026</vt:lpstr>
      <vt:lpstr>februari 2026</vt:lpstr>
      <vt:lpstr>Overzicht bedragen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 Theo</dc:creator>
  <cp:lastModifiedBy>HOLSTEYNS Jolien</cp:lastModifiedBy>
  <dcterms:created xsi:type="dcterms:W3CDTF">2024-11-11T15:08:02Z</dcterms:created>
  <dcterms:modified xsi:type="dcterms:W3CDTF">2026-02-27T12:41:27Z</dcterms:modified>
</cp:coreProperties>
</file>